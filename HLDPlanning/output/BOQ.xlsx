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0E94A68D-3A95-4AB5-87A1-E381341759EC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BOQ" sheetId="1" r:id="rId1"/>
    <sheet name="BOM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2" l="1"/>
  <c r="F33" i="2"/>
  <c r="F32" i="2"/>
  <c r="F31" i="2"/>
  <c r="F28" i="2"/>
  <c r="F27" i="2"/>
  <c r="F26" i="2"/>
  <c r="F25" i="2"/>
  <c r="F24" i="2"/>
  <c r="F23" i="2"/>
  <c r="F22" i="2"/>
  <c r="F19" i="2"/>
  <c r="F18" i="2"/>
  <c r="F17" i="2"/>
  <c r="F16" i="2"/>
  <c r="F15" i="2"/>
  <c r="F14" i="2"/>
  <c r="F13" i="2"/>
  <c r="F10" i="2"/>
  <c r="F9" i="2"/>
  <c r="F8" i="2"/>
  <c r="F7" i="2"/>
  <c r="F6" i="2"/>
  <c r="F36" i="2" s="1"/>
  <c r="I72" i="1"/>
  <c r="H72" i="1"/>
  <c r="J72" i="1" s="1"/>
  <c r="I71" i="1"/>
  <c r="H71" i="1"/>
  <c r="J71" i="1" s="1"/>
  <c r="I70" i="1"/>
  <c r="I82" i="1" s="1"/>
  <c r="H70" i="1"/>
  <c r="I68" i="1"/>
  <c r="H68" i="1"/>
  <c r="J68" i="1" s="1"/>
  <c r="I67" i="1"/>
  <c r="H67" i="1"/>
  <c r="J67" i="1" s="1"/>
  <c r="I66" i="1"/>
  <c r="I81" i="1" s="1"/>
  <c r="H66" i="1"/>
  <c r="I64" i="1"/>
  <c r="H64" i="1"/>
  <c r="J64" i="1" s="1"/>
  <c r="I63" i="1"/>
  <c r="H63" i="1"/>
  <c r="J63" i="1" s="1"/>
  <c r="I62" i="1"/>
  <c r="H62" i="1"/>
  <c r="J62" i="1" s="1"/>
  <c r="I61" i="1"/>
  <c r="I80" i="1" s="1"/>
  <c r="H61" i="1"/>
  <c r="I59" i="1"/>
  <c r="H59" i="1"/>
  <c r="J59" i="1" s="1"/>
  <c r="I58" i="1"/>
  <c r="H58" i="1"/>
  <c r="J58" i="1" s="1"/>
  <c r="I57" i="1"/>
  <c r="H57" i="1"/>
  <c r="J57" i="1" s="1"/>
  <c r="I56" i="1"/>
  <c r="H56" i="1"/>
  <c r="J56" i="1" s="1"/>
  <c r="I55" i="1"/>
  <c r="H55" i="1"/>
  <c r="J55" i="1" s="1"/>
  <c r="I54" i="1"/>
  <c r="H54" i="1"/>
  <c r="J54" i="1" s="1"/>
  <c r="I53" i="1"/>
  <c r="H53" i="1"/>
  <c r="J53" i="1" s="1"/>
  <c r="I52" i="1"/>
  <c r="H52" i="1"/>
  <c r="J52" i="1" s="1"/>
  <c r="I51" i="1"/>
  <c r="H51" i="1"/>
  <c r="J51" i="1" s="1"/>
  <c r="I50" i="1"/>
  <c r="I79" i="1" s="1"/>
  <c r="H50" i="1"/>
  <c r="I48" i="1"/>
  <c r="H48" i="1"/>
  <c r="J48" i="1" s="1"/>
  <c r="I47" i="1"/>
  <c r="H47" i="1"/>
  <c r="J47" i="1" s="1"/>
  <c r="I46" i="1"/>
  <c r="I78" i="1" s="1"/>
  <c r="H46" i="1"/>
  <c r="I44" i="1"/>
  <c r="H44" i="1"/>
  <c r="J44" i="1" s="1"/>
  <c r="I43" i="1"/>
  <c r="H43" i="1"/>
  <c r="J43" i="1" s="1"/>
  <c r="I42" i="1"/>
  <c r="H42" i="1"/>
  <c r="J42" i="1" s="1"/>
  <c r="I41" i="1"/>
  <c r="H41" i="1"/>
  <c r="J41" i="1" s="1"/>
  <c r="I40" i="1"/>
  <c r="H40" i="1"/>
  <c r="J40" i="1" s="1"/>
  <c r="I39" i="1"/>
  <c r="H39" i="1"/>
  <c r="J39" i="1" s="1"/>
  <c r="I38" i="1"/>
  <c r="H38" i="1"/>
  <c r="J38" i="1" s="1"/>
  <c r="I37" i="1"/>
  <c r="H37" i="1"/>
  <c r="J37" i="1" s="1"/>
  <c r="I36" i="1"/>
  <c r="I77" i="1" s="1"/>
  <c r="H36" i="1"/>
  <c r="I34" i="1"/>
  <c r="H34" i="1"/>
  <c r="J34" i="1" s="1"/>
  <c r="I33" i="1"/>
  <c r="H33" i="1"/>
  <c r="J33" i="1" s="1"/>
  <c r="I32" i="1"/>
  <c r="H32" i="1"/>
  <c r="J32" i="1" s="1"/>
  <c r="I31" i="1"/>
  <c r="H31" i="1"/>
  <c r="J31" i="1" s="1"/>
  <c r="I30" i="1"/>
  <c r="H30" i="1"/>
  <c r="J30" i="1" s="1"/>
  <c r="I29" i="1"/>
  <c r="H29" i="1"/>
  <c r="J29" i="1" s="1"/>
  <c r="I28" i="1"/>
  <c r="H28" i="1"/>
  <c r="J28" i="1" s="1"/>
  <c r="I27" i="1"/>
  <c r="H27" i="1"/>
  <c r="J27" i="1" s="1"/>
  <c r="I26" i="1"/>
  <c r="H26" i="1"/>
  <c r="J26" i="1" s="1"/>
  <c r="I25" i="1"/>
  <c r="H25" i="1"/>
  <c r="J25" i="1" s="1"/>
  <c r="I24" i="1"/>
  <c r="H24" i="1"/>
  <c r="J24" i="1" s="1"/>
  <c r="I23" i="1"/>
  <c r="I76" i="1" s="1"/>
  <c r="H23" i="1"/>
  <c r="I21" i="1"/>
  <c r="H21" i="1"/>
  <c r="J21" i="1" s="1"/>
  <c r="I20" i="1"/>
  <c r="H20" i="1"/>
  <c r="J20" i="1" s="1"/>
  <c r="I19" i="1"/>
  <c r="H19" i="1"/>
  <c r="J19" i="1" s="1"/>
  <c r="I18" i="1"/>
  <c r="H18" i="1"/>
  <c r="J18" i="1" s="1"/>
  <c r="I17" i="1"/>
  <c r="H17" i="1"/>
  <c r="J17" i="1" s="1"/>
  <c r="I16" i="1"/>
  <c r="H16" i="1"/>
  <c r="J16" i="1" s="1"/>
  <c r="I15" i="1"/>
  <c r="H15" i="1"/>
  <c r="J15" i="1" s="1"/>
  <c r="I14" i="1"/>
  <c r="H14" i="1"/>
  <c r="J14" i="1" s="1"/>
  <c r="I13" i="1"/>
  <c r="H13" i="1"/>
  <c r="J13" i="1" s="1"/>
  <c r="I12" i="1"/>
  <c r="H12" i="1"/>
  <c r="J12" i="1" s="1"/>
  <c r="I11" i="1"/>
  <c r="H11" i="1"/>
  <c r="J11" i="1" s="1"/>
  <c r="I10" i="1"/>
  <c r="I75" i="1" s="1"/>
  <c r="H10" i="1"/>
  <c r="I8" i="1"/>
  <c r="H8" i="1"/>
  <c r="J8" i="1" s="1"/>
  <c r="I7" i="1"/>
  <c r="I74" i="1" s="1"/>
  <c r="I84" i="1" s="1"/>
  <c r="H7" i="1"/>
  <c r="H74" i="1" l="1"/>
  <c r="J7" i="1"/>
  <c r="J74" i="1" s="1"/>
  <c r="H75" i="1"/>
  <c r="J10" i="1"/>
  <c r="J75" i="1" s="1"/>
  <c r="H76" i="1"/>
  <c r="J23" i="1"/>
  <c r="J76" i="1" s="1"/>
  <c r="H77" i="1"/>
  <c r="J36" i="1"/>
  <c r="J77" i="1" s="1"/>
  <c r="H78" i="1"/>
  <c r="J46" i="1"/>
  <c r="J78" i="1" s="1"/>
  <c r="H79" i="1"/>
  <c r="J50" i="1"/>
  <c r="J79" i="1" s="1"/>
  <c r="H80" i="1"/>
  <c r="J61" i="1"/>
  <c r="J80" i="1" s="1"/>
  <c r="H81" i="1"/>
  <c r="J66" i="1"/>
  <c r="J81" i="1" s="1"/>
  <c r="H82" i="1"/>
  <c r="J70" i="1"/>
  <c r="J82" i="1" s="1"/>
  <c r="J84" i="1" l="1"/>
  <c r="H84" i="1"/>
</calcChain>
</file>

<file path=xl/sharedStrings.xml><?xml version="1.0" encoding="utf-8"?>
<sst xmlns="http://schemas.openxmlformats.org/spreadsheetml/2006/main" count="300" uniqueCount="218">
  <si>
    <t>BILL OF QUANTITIES (BOQ)</t>
  </si>
  <si>
    <t>Project:</t>
  </si>
  <si>
    <t>abc</t>
  </si>
  <si>
    <t>Date:</t>
  </si>
  <si>
    <t>2026-05-12</t>
  </si>
  <si>
    <t>Revision:</t>
  </si>
  <si>
    <t>Dataset:</t>
  </si>
  <si>
    <t>Planner:</t>
  </si>
  <si>
    <t>Run ID:</t>
  </si>
  <si>
    <t>f88a5494-304c-4d6c-888b-84d14b47452a</t>
  </si>
  <si>
    <t>#</t>
  </si>
  <si>
    <t>Description</t>
  </si>
  <si>
    <t>Unit</t>
  </si>
  <si>
    <t>Quantity</t>
  </si>
  <si>
    <t>Material
€/unit</t>
  </si>
  <si>
    <t>Labour
€/unit</t>
  </si>
  <si>
    <t>Rent
€/unit</t>
  </si>
  <si>
    <t>Material
€ Total</t>
  </si>
  <si>
    <t>Labour
€ Total</t>
  </si>
  <si>
    <t>Total Cost €</t>
  </si>
  <si>
    <t>Remark</t>
  </si>
  <si>
    <t>10. SUMMARY</t>
  </si>
  <si>
    <t>1.1</t>
  </si>
  <si>
    <t>Access Network LLD + Permitting</t>
  </si>
  <si>
    <t>HP</t>
  </si>
  <si>
    <t>1.2</t>
  </si>
  <si>
    <t>Backhaul Design</t>
  </si>
  <si>
    <t>km</t>
  </si>
  <si>
    <t>2. CIVIL WORKS — TRENCHING</t>
  </si>
  <si>
    <t>2.1</t>
  </si>
  <si>
    <t>Feeder trench — open cut (asphalt)</t>
  </si>
  <si>
    <t>m</t>
  </si>
  <si>
    <t>2.2</t>
  </si>
  <si>
    <t>Feeder trench — open cut (grass)</t>
  </si>
  <si>
    <t>2.3</t>
  </si>
  <si>
    <t>Distribution trench — open cut (asphalt)</t>
  </si>
  <si>
    <t>2.4</t>
  </si>
  <si>
    <t>Distribution trench — open cut (grass)</t>
  </si>
  <si>
    <t>2.5</t>
  </si>
  <si>
    <t>Garden trench — ploughing</t>
  </si>
  <si>
    <t>2.6</t>
  </si>
  <si>
    <t>Drill / HDD crossings</t>
  </si>
  <si>
    <t>2.7</t>
  </si>
  <si>
    <t>Micro-trenching</t>
  </si>
  <si>
    <t>2.8</t>
  </si>
  <si>
    <t>Mini-trenching (asphalt)</t>
  </si>
  <si>
    <t>2.9</t>
  </si>
  <si>
    <t>Mini-trenching (grass)</t>
  </si>
  <si>
    <t>2.10</t>
  </si>
  <si>
    <t>Traditional trenching 30×60cm</t>
  </si>
  <si>
    <t>2.11</t>
  </si>
  <si>
    <t>Road restoration — asphalt</t>
  </si>
  <si>
    <t>2.12</t>
  </si>
  <si>
    <t>Road restoration — brick/paving</t>
  </si>
  <si>
    <t>3. CIVIL WORKS — DUCTS</t>
  </si>
  <si>
    <t>3.1</t>
  </si>
  <si>
    <t>Feeder duct HDPE 50/40</t>
  </si>
  <si>
    <t>3.2</t>
  </si>
  <si>
    <t>Feeder duct HDPE 40</t>
  </si>
  <si>
    <t>3.3</t>
  </si>
  <si>
    <t>Feeder sub-duct 7×14/10</t>
  </si>
  <si>
    <t>3.4</t>
  </si>
  <si>
    <t>Feeder sub-duct 4×14/10</t>
  </si>
  <si>
    <t>3.5</t>
  </si>
  <si>
    <t>Feeder sub-duct 2×14/10</t>
  </si>
  <si>
    <t>3.6</t>
  </si>
  <si>
    <t>Feeder sub-duct 1×14/10</t>
  </si>
  <si>
    <t>3.7</t>
  </si>
  <si>
    <t>Distribution duct HDPE 32</t>
  </si>
  <si>
    <t>3.8</t>
  </si>
  <si>
    <t>Distribution sub-duct 7×7/4</t>
  </si>
  <si>
    <t>3.9</t>
  </si>
  <si>
    <t>Distribution sub-duct 12×7/4</t>
  </si>
  <si>
    <t>3.10</t>
  </si>
  <si>
    <t>Distribution sub-duct 24×7/4</t>
  </si>
  <si>
    <t>3.11</t>
  </si>
  <si>
    <t>Distribution sub-duct 1×7/4 (property)</t>
  </si>
  <si>
    <t>3.12</t>
  </si>
  <si>
    <t>Duct surplus (+2%)</t>
  </si>
  <si>
    <t>4. LINES &amp; CABLES</t>
  </si>
  <si>
    <t>4.1</t>
  </si>
  <si>
    <t>Feeder cable 288 FO</t>
  </si>
  <si>
    <t>4.2</t>
  </si>
  <si>
    <t>Feeder cable 192 FO</t>
  </si>
  <si>
    <t>4.3</t>
  </si>
  <si>
    <t>Feeder cable 144 FO</t>
  </si>
  <si>
    <t>4.4</t>
  </si>
  <si>
    <t>Feeder cable 96 FO</t>
  </si>
  <si>
    <t>4.5</t>
  </si>
  <si>
    <t>Feeder cable 48 FO</t>
  </si>
  <si>
    <t>4.6</t>
  </si>
  <si>
    <t>Distribution cable 24 FO</t>
  </si>
  <si>
    <t>4.7</t>
  </si>
  <si>
    <t>Distribution cable 12 FO</t>
  </si>
  <si>
    <t>4.8</t>
  </si>
  <si>
    <t>Distribution cable 4 FO</t>
  </si>
  <si>
    <t>4.9</t>
  </si>
  <si>
    <t>Cable surplus (+2%)</t>
  </si>
  <si>
    <t>5. SPLICING</t>
  </si>
  <si>
    <t>5.1</t>
  </si>
  <si>
    <t>Splice ≤24 FO</t>
  </si>
  <si>
    <t>splice</t>
  </si>
  <si>
    <t>5.2</t>
  </si>
  <si>
    <t>Splice 24–96 FO</t>
  </si>
  <si>
    <t>5.3</t>
  </si>
  <si>
    <t>Splice &gt;96 FO</t>
  </si>
  <si>
    <t>6. PLANT ELEMENTS</t>
  </si>
  <si>
    <t>6.1</t>
  </si>
  <si>
    <t>DP48 (PDP with splicing)</t>
  </si>
  <si>
    <t>ea</t>
  </si>
  <si>
    <t>6.2</t>
  </si>
  <si>
    <t>DP48 (PDP without splicing)</t>
  </si>
  <si>
    <t>6.3</t>
  </si>
  <si>
    <t>MFG / Mini-PoP</t>
  </si>
  <si>
    <t>6.4</t>
  </si>
  <si>
    <t>Handhole open cut (B125)</t>
  </si>
  <si>
    <t>6.5</t>
  </si>
  <si>
    <t>Handhole trench cut (B125)</t>
  </si>
  <si>
    <t>6.6</t>
  </si>
  <si>
    <t>Closure (splice)</t>
  </si>
  <si>
    <t>6.7</t>
  </si>
  <si>
    <t>1:32 Splitter on site</t>
  </si>
  <si>
    <t>6.8</t>
  </si>
  <si>
    <t>1:8 Splitter on site</t>
  </si>
  <si>
    <t>6.9</t>
  </si>
  <si>
    <t>Patchpanel 1HU</t>
  </si>
  <si>
    <t>6.10</t>
  </si>
  <si>
    <t>PoP Termination</t>
  </si>
  <si>
    <t>fiber</t>
  </si>
  <si>
    <t>7. OTB DISTRIBUTION</t>
  </si>
  <si>
    <t>7.1</t>
  </si>
  <si>
    <t>OTB 1–4 HH (per address)</t>
  </si>
  <si>
    <t>7.2</t>
  </si>
  <si>
    <t>OTB 5–8 HH</t>
  </si>
  <si>
    <t>7.3</t>
  </si>
  <si>
    <t>OTB 9–24 HH</t>
  </si>
  <si>
    <t>7.4</t>
  </si>
  <si>
    <t>OTB 25–48 HH</t>
  </si>
  <si>
    <t>8. INSTALLATION</t>
  </si>
  <si>
    <t>8.1</t>
  </si>
  <si>
    <t>OTB→ONT Installation (1st HC)</t>
  </si>
  <si>
    <t>HC</t>
  </si>
  <si>
    <t>8.2</t>
  </si>
  <si>
    <t>OTB→ONT Installation (2nd HC)</t>
  </si>
  <si>
    <t>8.3</t>
  </si>
  <si>
    <t>OTB→ONT Installation (3rd HC)</t>
  </si>
  <si>
    <t>9. FTTF (FIBER TO THE FENCE)</t>
  </si>
  <si>
    <t>9.1</t>
  </si>
  <si>
    <t>Access per property</t>
  </si>
  <si>
    <t>9.2</t>
  </si>
  <si>
    <t>Garden trenching (grass)</t>
  </si>
  <si>
    <t>9.3</t>
  </si>
  <si>
    <t>Garden duct 1×7/4</t>
  </si>
  <si>
    <t>TOTAL DESIGN &amp; PLANNING</t>
  </si>
  <si>
    <t>TOTAL CIVIL WORKS — TRENCHING</t>
  </si>
  <si>
    <t>TOTAL CIVIL WORKS — DUCTS</t>
  </si>
  <si>
    <t>TOTAL LINES &amp; CABLES</t>
  </si>
  <si>
    <t>TOTAL SPLICING</t>
  </si>
  <si>
    <t>TOTAL PLANT ELEMENTS</t>
  </si>
  <si>
    <t>TOTAL OTB DISTRIBUTION</t>
  </si>
  <si>
    <t>TOTAL INSTALLATION</t>
  </si>
  <si>
    <t>TOTAL FTTF</t>
  </si>
  <si>
    <t>GRAND TOTAL</t>
  </si>
  <si>
    <t>BILL OF MATERIALS (BOM)</t>
  </si>
  <si>
    <t>Material Description</t>
  </si>
  <si>
    <t>Unit Price €</t>
  </si>
  <si>
    <t>Total €</t>
  </si>
  <si>
    <t>Notes</t>
  </si>
  <si>
    <t>Ducts</t>
  </si>
  <si>
    <t>1</t>
  </si>
  <si>
    <t>HDPE duct 50/40mm</t>
  </si>
  <si>
    <t>2</t>
  </si>
  <si>
    <t>HDPE duct 40mm</t>
  </si>
  <si>
    <t>3</t>
  </si>
  <si>
    <t>HDPE duct 32mm</t>
  </si>
  <si>
    <t>4</t>
  </si>
  <si>
    <t>Sub-duct 14/10 (feeder)</t>
  </si>
  <si>
    <t>5</t>
  </si>
  <si>
    <t>Sub-duct 7/4 (distribution)</t>
  </si>
  <si>
    <t>Cables</t>
  </si>
  <si>
    <t>6</t>
  </si>
  <si>
    <t>Fiber cable 288 FO</t>
  </si>
  <si>
    <t>7</t>
  </si>
  <si>
    <t>Fiber cable 144 FO</t>
  </si>
  <si>
    <t>8</t>
  </si>
  <si>
    <t>Fiber cable 96 FO</t>
  </si>
  <si>
    <t>9</t>
  </si>
  <si>
    <t>Fiber cable 48 FO</t>
  </si>
  <si>
    <t>10</t>
  </si>
  <si>
    <t>Fiber cable 24 FO</t>
  </si>
  <si>
    <t>11</t>
  </si>
  <si>
    <t>Fiber cable 12 FO</t>
  </si>
  <si>
    <t>12</t>
  </si>
  <si>
    <t>Fiber cable 4 FO</t>
  </si>
  <si>
    <t>Plant Elements</t>
  </si>
  <si>
    <t>13</t>
  </si>
  <si>
    <t>DP48 distribution point</t>
  </si>
  <si>
    <t>14</t>
  </si>
  <si>
    <t>MFG / Mini-PoP enclosure</t>
  </si>
  <si>
    <t>15</t>
  </si>
  <si>
    <t>Handhole B125</t>
  </si>
  <si>
    <t>16</t>
  </si>
  <si>
    <t>Splice closure</t>
  </si>
  <si>
    <t>17</t>
  </si>
  <si>
    <t>1:32 Splitter</t>
  </si>
  <si>
    <t>18</t>
  </si>
  <si>
    <t>1:8 Splitter</t>
  </si>
  <si>
    <t>19</t>
  </si>
  <si>
    <t>OTB / Termination</t>
  </si>
  <si>
    <t>20</t>
  </si>
  <si>
    <t>OTB-4 (1–4 HH)</t>
  </si>
  <si>
    <t>21</t>
  </si>
  <si>
    <t>OTB-8 (5–8 HH)</t>
  </si>
  <si>
    <t>22</t>
  </si>
  <si>
    <t>OTB-24 (9–24 HH)</t>
  </si>
  <si>
    <t>23</t>
  </si>
  <si>
    <t>OTB-48 (25–48 HH)</t>
  </si>
  <si>
    <t>TOTAL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</si>
</sst>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8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2E75B6"/>
        <bgColor rgb="FF0066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/>
    <xf numFmtId="164" fontId="5" fillId="0" borderId="1" xfId="0" applyNumberFormat="1" applyFont="1" applyBorder="1"/>
    <xf numFmtId="0" fontId="0" fillId="0" borderId="1" xfId="0" applyBorder="1"/>
    <xf numFmtId="164" fontId="6" fillId="4" borderId="1" xfId="0" applyNumberFormat="1" applyFont="1" applyFill="1" applyBorder="1"/>
    <xf numFmtId="164" fontId="7" fillId="2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164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/>
    <xf numFmtId="0" fontId="4" fillId="3" borderId="1" xfId="0" applyFont="1" applyFill="1" applyBorder="1" applyAlignment="1"/>
    <xf numFmtId="0" fontId="0" fillId="0" borderId="3" xfId="0" applyBorder="1" applyAlignment="1"/>
    <xf numFmtId="0" fontId="0" fillId="0" borderId="4" xfId="0" applyBorder="1" applyAlignment="1"/>
    <xf numFmtId="0" fontId="4" fillId="3" borderId="2" xfId="0" applyFont="1" applyFill="1" applyBorder="1" applyAlignment="1"/>
    <xf numFmtId="0" fontId="6" fillId="4" borderId="1" xfId="0" applyFont="1" applyFill="1" applyBorder="1" applyAlignment="1"/>
    <xf numFmtId="0" fontId="7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4"/>
  <sheetViews>
    <sheetView tabSelected="1" zoomScaleNormal="100" workbookViewId="0"/>
  </sheetViews>
  <sheetFormatPr defaultColWidth="8.7109375" defaultRowHeight="15"/>
  <cols>
    <col min="1" max="1" width="6" customWidth="1"/>
    <col min="2" max="2" width="42" customWidth="1"/>
    <col min="3" max="3" width="8" customWidth="1"/>
    <col min="4" max="4" width="12" customWidth="1"/>
    <col min="5" max="9" width="14" customWidth="1"/>
    <col min="10" max="10" width="16" customWidth="1"/>
    <col min="11" max="11" width="18" customWidth="1"/>
  </cols>
  <sheetData>
    <row r="1" spans="1:11" ht="19.7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" customHeight="1">
      <c r="A2" s="1" t="s">
        <v>1</v>
      </c>
      <c r="B2" t="s">
        <v>2</v>
      </c>
      <c r="D2" s="1" t="s">
        <v>3</v>
      </c>
      <c r="E2" t="s">
        <v>4</v>
      </c>
      <c r="G2" s="1" t="s">
        <v>5</v>
      </c>
    </row>
    <row r="3" spans="1:11" ht="15" customHeight="1">
      <c r="A3" s="1" t="s">
        <v>6</v>
      </c>
      <c r="D3" s="1" t="s">
        <v>7</v>
      </c>
      <c r="G3" s="1" t="s">
        <v>8</v>
      </c>
      <c r="H3" t="s">
        <v>9</v>
      </c>
    </row>
    <row r="5" spans="1:11" ht="31.5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</row>
    <row r="6" spans="1:11" ht="15" customHeight="1">
      <c r="A6" s="15" t="s">
        <v>21</v>
      </c>
      <c r="B6" s="16"/>
      <c r="C6" s="16"/>
      <c r="D6" s="16"/>
      <c r="E6" s="16"/>
      <c r="F6" s="16"/>
      <c r="G6" s="16"/>
      <c r="H6" s="16"/>
      <c r="I6" s="16"/>
      <c r="J6" s="16"/>
      <c r="K6" s="17"/>
    </row>
    <row r="7" spans="1:11" ht="15" customHeight="1">
      <c r="A7" s="3" t="s">
        <v>22</v>
      </c>
      <c r="B7" s="3" t="s">
        <v>23</v>
      </c>
      <c r="C7" s="4" t="s">
        <v>24</v>
      </c>
      <c r="D7" s="5">
        <v>2866</v>
      </c>
      <c r="E7" s="6"/>
      <c r="F7" s="6"/>
      <c r="G7" s="6"/>
      <c r="H7" s="6">
        <f>D7*E7</f>
        <v>0</v>
      </c>
      <c r="I7" s="6">
        <f>D7*F7</f>
        <v>0</v>
      </c>
      <c r="J7" s="6">
        <f>H7+I7+(D7*G7)</f>
        <v>0</v>
      </c>
      <c r="K7" s="3"/>
    </row>
    <row r="8" spans="1:11" ht="15" customHeight="1">
      <c r="A8" s="3" t="s">
        <v>25</v>
      </c>
      <c r="B8" s="3" t="s">
        <v>26</v>
      </c>
      <c r="C8" s="4" t="s">
        <v>27</v>
      </c>
      <c r="D8" s="5"/>
      <c r="E8" s="6"/>
      <c r="F8" s="6"/>
      <c r="G8" s="6"/>
      <c r="H8" s="6">
        <f>D8*E8</f>
        <v>0</v>
      </c>
      <c r="I8" s="6">
        <f>D8*F8</f>
        <v>0</v>
      </c>
      <c r="J8" s="6">
        <f>H8+I8+(D8*G8)</f>
        <v>0</v>
      </c>
      <c r="K8" s="3"/>
    </row>
    <row r="9" spans="1:11" ht="15" customHeight="1">
      <c r="A9" s="18" t="s">
        <v>28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ht="15" customHeight="1">
      <c r="A10" s="3" t="s">
        <v>29</v>
      </c>
      <c r="B10" s="3" t="s">
        <v>30</v>
      </c>
      <c r="C10" s="4" t="s">
        <v>31</v>
      </c>
      <c r="D10" s="5">
        <v>3319.27</v>
      </c>
      <c r="E10" s="6"/>
      <c r="F10" s="6"/>
      <c r="G10" s="6"/>
      <c r="H10" s="6">
        <f>D10*E10</f>
        <v>0</v>
      </c>
      <c r="I10" s="6">
        <f>D10*F10</f>
        <v>0</v>
      </c>
      <c r="J10" s="6">
        <f>H10+I10+(D10*G10)</f>
        <v>0</v>
      </c>
      <c r="K10" s="3"/>
    </row>
    <row r="11" spans="1:11" ht="15" customHeight="1">
      <c r="A11" s="3" t="s">
        <v>32</v>
      </c>
      <c r="B11" s="3" t="s">
        <v>33</v>
      </c>
      <c r="C11" s="4" t="s">
        <v>31</v>
      </c>
      <c r="D11" s="5"/>
      <c r="E11" s="6"/>
      <c r="F11" s="6"/>
      <c r="G11" s="6"/>
      <c r="H11" s="6">
        <f>D11*E11</f>
        <v>0</v>
      </c>
      <c r="I11" s="6">
        <f>D11*F11</f>
        <v>0</v>
      </c>
      <c r="J11" s="6">
        <f>H11+I11+(D11*G11)</f>
        <v>0</v>
      </c>
      <c r="K11" s="3"/>
    </row>
    <row r="12" spans="1:11" ht="15" customHeight="1">
      <c r="A12" s="3" t="s">
        <v>34</v>
      </c>
      <c r="B12" s="3" t="s">
        <v>35</v>
      </c>
      <c r="C12" s="4" t="s">
        <v>31</v>
      </c>
      <c r="D12" s="5">
        <v>5418.7</v>
      </c>
      <c r="E12" s="6"/>
      <c r="F12" s="6"/>
      <c r="G12" s="6"/>
      <c r="H12" s="6">
        <f>D12*E12</f>
        <v>0</v>
      </c>
      <c r="I12" s="6">
        <f>D12*F12</f>
        <v>0</v>
      </c>
      <c r="J12" s="6">
        <f>H12+I12+(D12*G12)</f>
        <v>0</v>
      </c>
      <c r="K12" s="3"/>
    </row>
    <row r="13" spans="1:11" ht="15" customHeight="1">
      <c r="A13" s="3" t="s">
        <v>36</v>
      </c>
      <c r="B13" s="3" t="s">
        <v>37</v>
      </c>
      <c r="C13" s="4" t="s">
        <v>31</v>
      </c>
      <c r="D13" s="5"/>
      <c r="E13" s="6"/>
      <c r="F13" s="6"/>
      <c r="G13" s="6"/>
      <c r="H13" s="6">
        <f>D13*E13</f>
        <v>0</v>
      </c>
      <c r="I13" s="6">
        <f>D13*F13</f>
        <v>0</v>
      </c>
      <c r="J13" s="6">
        <f>H13+I13+(D13*G13)</f>
        <v>0</v>
      </c>
      <c r="K13" s="3"/>
    </row>
    <row r="14" spans="1:11" ht="15" customHeight="1">
      <c r="A14" s="3" t="s">
        <v>38</v>
      </c>
      <c r="B14" s="3" t="s">
        <v>39</v>
      </c>
      <c r="C14" s="4" t="s">
        <v>31</v>
      </c>
      <c r="D14" s="5">
        <v>3551.43</v>
      </c>
      <c r="E14" s="6"/>
      <c r="F14" s="6"/>
      <c r="G14" s="6"/>
      <c r="H14" s="6">
        <f>D14*E14</f>
        <v>0</v>
      </c>
      <c r="I14" s="6">
        <f>D14*F14</f>
        <v>0</v>
      </c>
      <c r="J14" s="6">
        <f>H14+I14+(D14*G14)</f>
        <v>0</v>
      </c>
      <c r="K14" s="3"/>
    </row>
    <row r="15" spans="1:11" ht="15" customHeight="1">
      <c r="A15" s="3" t="s">
        <v>40</v>
      </c>
      <c r="B15" s="3" t="s">
        <v>41</v>
      </c>
      <c r="C15" s="4" t="s">
        <v>31</v>
      </c>
      <c r="D15" s="5">
        <v>358.39</v>
      </c>
      <c r="E15" s="6"/>
      <c r="F15" s="6"/>
      <c r="G15" s="6"/>
      <c r="H15" s="6">
        <f>D15*E15</f>
        <v>0</v>
      </c>
      <c r="I15" s="6">
        <f>D15*F15</f>
        <v>0</v>
      </c>
      <c r="J15" s="6">
        <f>H15+I15+(D15*G15)</f>
        <v>0</v>
      </c>
      <c r="K15" s="3"/>
    </row>
    <row r="16" spans="1:11" ht="15" customHeight="1">
      <c r="A16" s="3" t="s">
        <v>42</v>
      </c>
      <c r="B16" s="3" t="s">
        <v>43</v>
      </c>
      <c r="C16" s="4" t="s">
        <v>31</v>
      </c>
      <c r="D16" s="5"/>
      <c r="E16" s="6"/>
      <c r="F16" s="6"/>
      <c r="G16" s="6"/>
      <c r="H16" s="6">
        <f>D16*E16</f>
        <v>0</v>
      </c>
      <c r="I16" s="6">
        <f>D16*F16</f>
        <v>0</v>
      </c>
      <c r="J16" s="6">
        <f>H16+I16+(D16*G16)</f>
        <v>0</v>
      </c>
      <c r="K16" s="3"/>
    </row>
    <row r="17" spans="1:11" ht="15" customHeight="1">
      <c r="A17" s="3" t="s">
        <v>44</v>
      </c>
      <c r="B17" s="3" t="s">
        <v>45</v>
      </c>
      <c r="C17" s="4" t="s">
        <v>31</v>
      </c>
      <c r="D17" s="5"/>
      <c r="E17" s="6"/>
      <c r="F17" s="6"/>
      <c r="G17" s="6"/>
      <c r="H17" s="6">
        <f>D17*E17</f>
        <v>0</v>
      </c>
      <c r="I17" s="6">
        <f>D17*F17</f>
        <v>0</v>
      </c>
      <c r="J17" s="6">
        <f>H17+I17+(D17*G17)</f>
        <v>0</v>
      </c>
      <c r="K17" s="3"/>
    </row>
    <row r="18" spans="1:11" ht="15" customHeight="1">
      <c r="A18" s="3" t="s">
        <v>46</v>
      </c>
      <c r="B18" s="3" t="s">
        <v>47</v>
      </c>
      <c r="C18" s="4" t="s">
        <v>31</v>
      </c>
      <c r="D18" s="5"/>
      <c r="E18" s="6"/>
      <c r="F18" s="6"/>
      <c r="G18" s="6"/>
      <c r="H18" s="6">
        <f>D18*E18</f>
        <v>0</v>
      </c>
      <c r="I18" s="6">
        <f>D18*F18</f>
        <v>0</v>
      </c>
      <c r="J18" s="6">
        <f>H18+I18+(D18*G18)</f>
        <v>0</v>
      </c>
      <c r="K18" s="3"/>
    </row>
    <row r="19" spans="1:11" ht="15" customHeight="1">
      <c r="A19" s="3" t="s">
        <v>48</v>
      </c>
      <c r="B19" s="3" t="s">
        <v>49</v>
      </c>
      <c r="C19" s="4" t="s">
        <v>31</v>
      </c>
      <c r="D19" s="5"/>
      <c r="E19" s="6"/>
      <c r="F19" s="6"/>
      <c r="G19" s="6"/>
      <c r="H19" s="6">
        <f>D19*E19</f>
        <v>0</v>
      </c>
      <c r="I19" s="6">
        <f>D19*F19</f>
        <v>0</v>
      </c>
      <c r="J19" s="6">
        <f>H19+I19+(D19*G19)</f>
        <v>0</v>
      </c>
      <c r="K19" s="3"/>
    </row>
    <row r="20" spans="1:11" ht="15" customHeight="1">
      <c r="A20" s="3" t="s">
        <v>50</v>
      </c>
      <c r="B20" s="3" t="s">
        <v>51</v>
      </c>
      <c r="C20" s="4" t="s">
        <v>31</v>
      </c>
      <c r="D20" s="5"/>
      <c r="E20" s="6"/>
      <c r="F20" s="6"/>
      <c r="G20" s="6"/>
      <c r="H20" s="6">
        <f>D20*E20</f>
        <v>0</v>
      </c>
      <c r="I20" s="6">
        <f>D20*F20</f>
        <v>0</v>
      </c>
      <c r="J20" s="6">
        <f>H20+I20+(D20*G20)</f>
        <v>0</v>
      </c>
      <c r="K20" s="3"/>
    </row>
    <row r="21" spans="1:11" ht="15" customHeight="1">
      <c r="A21" s="3" t="s">
        <v>52</v>
      </c>
      <c r="B21" s="3" t="s">
        <v>53</v>
      </c>
      <c r="C21" s="4" t="s">
        <v>31</v>
      </c>
      <c r="D21" s="5"/>
      <c r="E21" s="6"/>
      <c r="F21" s="6"/>
      <c r="G21" s="6"/>
      <c r="H21" s="6">
        <f>D21*E21</f>
        <v>0</v>
      </c>
      <c r="I21" s="6">
        <f>D21*F21</f>
        <v>0</v>
      </c>
      <c r="J21" s="6">
        <f>H21+I21+(D21*G21)</f>
        <v>0</v>
      </c>
      <c r="K21" s="3"/>
    </row>
    <row r="22" spans="1:11" ht="15" customHeight="1">
      <c r="A22" s="18" t="s">
        <v>54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15" customHeight="1">
      <c r="A23" s="3" t="s">
        <v>55</v>
      </c>
      <c r="B23" s="3" t="s">
        <v>56</v>
      </c>
      <c r="C23" s="4" t="s">
        <v>31</v>
      </c>
      <c r="D23" s="5">
        <v>3319</v>
      </c>
      <c r="E23" s="6"/>
      <c r="F23" s="6"/>
      <c r="G23" s="6"/>
      <c r="H23" s="6">
        <f>D23*E23</f>
        <v>0</v>
      </c>
      <c r="I23" s="6">
        <f>D23*F23</f>
        <v>0</v>
      </c>
      <c r="J23" s="6">
        <f>H23+I23+(D23*G23)</f>
        <v>0</v>
      </c>
      <c r="K23" s="3"/>
    </row>
    <row r="24" spans="1:11" ht="15" customHeight="1">
      <c r="A24" s="3" t="s">
        <v>57</v>
      </c>
      <c r="B24" s="3" t="s">
        <v>58</v>
      </c>
      <c r="C24" s="4" t="s">
        <v>31</v>
      </c>
      <c r="D24" s="5">
        <v>0</v>
      </c>
      <c r="E24" s="6"/>
      <c r="F24" s="6"/>
      <c r="G24" s="6"/>
      <c r="H24" s="6">
        <f>D24*E24</f>
        <v>0</v>
      </c>
      <c r="I24" s="6">
        <f>D24*F24</f>
        <v>0</v>
      </c>
      <c r="J24" s="6">
        <f>H24+I24+(D24*G24)</f>
        <v>0</v>
      </c>
      <c r="K24" s="3"/>
    </row>
    <row r="25" spans="1:11" ht="15" customHeight="1">
      <c r="A25" s="3" t="s">
        <v>59</v>
      </c>
      <c r="B25" s="3" t="s">
        <v>60</v>
      </c>
      <c r="C25" s="4" t="s">
        <v>31</v>
      </c>
      <c r="D25" s="5"/>
      <c r="E25" s="6"/>
      <c r="F25" s="6"/>
      <c r="G25" s="6"/>
      <c r="H25" s="6">
        <f>D25*E25</f>
        <v>0</v>
      </c>
      <c r="I25" s="6">
        <f>D25*F25</f>
        <v>0</v>
      </c>
      <c r="J25" s="6">
        <f>H25+I25+(D25*G25)</f>
        <v>0</v>
      </c>
      <c r="K25" s="3"/>
    </row>
    <row r="26" spans="1:11" ht="15" customHeight="1">
      <c r="A26" s="3" t="s">
        <v>61</v>
      </c>
      <c r="B26" s="3" t="s">
        <v>62</v>
      </c>
      <c r="C26" s="4" t="s">
        <v>31</v>
      </c>
      <c r="D26" s="5"/>
      <c r="E26" s="6"/>
      <c r="F26" s="6"/>
      <c r="G26" s="6"/>
      <c r="H26" s="6">
        <f>D26*E26</f>
        <v>0</v>
      </c>
      <c r="I26" s="6">
        <f>D26*F26</f>
        <v>0</v>
      </c>
      <c r="J26" s="6">
        <f>H26+I26+(D26*G26)</f>
        <v>0</v>
      </c>
      <c r="K26" s="3"/>
    </row>
    <row r="27" spans="1:11" ht="15" customHeight="1">
      <c r="A27" s="3" t="s">
        <v>63</v>
      </c>
      <c r="B27" s="3" t="s">
        <v>64</v>
      </c>
      <c r="C27" s="4" t="s">
        <v>31</v>
      </c>
      <c r="D27" s="5"/>
      <c r="E27" s="6"/>
      <c r="F27" s="6"/>
      <c r="G27" s="6"/>
      <c r="H27" s="6">
        <f>D27*E27</f>
        <v>0</v>
      </c>
      <c r="I27" s="6">
        <f>D27*F27</f>
        <v>0</v>
      </c>
      <c r="J27" s="6">
        <f>H27+I27+(D27*G27)</f>
        <v>0</v>
      </c>
      <c r="K27" s="3"/>
    </row>
    <row r="28" spans="1:11" ht="15" customHeight="1">
      <c r="A28" s="3" t="s">
        <v>65</v>
      </c>
      <c r="B28" s="3" t="s">
        <v>66</v>
      </c>
      <c r="C28" s="4" t="s">
        <v>31</v>
      </c>
      <c r="D28" s="5"/>
      <c r="E28" s="6"/>
      <c r="F28" s="6"/>
      <c r="G28" s="6"/>
      <c r="H28" s="6">
        <f>D28*E28</f>
        <v>0</v>
      </c>
      <c r="I28" s="6">
        <f>D28*F28</f>
        <v>0</v>
      </c>
      <c r="J28" s="6">
        <f>H28+I28+(D28*G28)</f>
        <v>0</v>
      </c>
      <c r="K28" s="3"/>
    </row>
    <row r="29" spans="1:11" ht="15" customHeight="1">
      <c r="A29" s="3" t="s">
        <v>67</v>
      </c>
      <c r="B29" s="3" t="s">
        <v>68</v>
      </c>
      <c r="C29" s="4" t="s">
        <v>31</v>
      </c>
      <c r="D29" s="5">
        <v>5419</v>
      </c>
      <c r="E29" s="6"/>
      <c r="F29" s="6"/>
      <c r="G29" s="6"/>
      <c r="H29" s="6">
        <f>D29*E29</f>
        <v>0</v>
      </c>
      <c r="I29" s="6">
        <f>D29*F29</f>
        <v>0</v>
      </c>
      <c r="J29" s="6">
        <f>H29+I29+(D29*G29)</f>
        <v>0</v>
      </c>
      <c r="K29" s="3"/>
    </row>
    <row r="30" spans="1:11" ht="15" customHeight="1">
      <c r="A30" s="3" t="s">
        <v>69</v>
      </c>
      <c r="B30" s="3" t="s">
        <v>70</v>
      </c>
      <c r="C30" s="4" t="s">
        <v>31</v>
      </c>
      <c r="D30" s="5"/>
      <c r="E30" s="6"/>
      <c r="F30" s="6"/>
      <c r="G30" s="6"/>
      <c r="H30" s="6">
        <f>D30*E30</f>
        <v>0</v>
      </c>
      <c r="I30" s="6">
        <f>D30*F30</f>
        <v>0</v>
      </c>
      <c r="J30" s="6">
        <f>H30+I30+(D30*G30)</f>
        <v>0</v>
      </c>
      <c r="K30" s="3"/>
    </row>
    <row r="31" spans="1:11" ht="15" customHeight="1">
      <c r="A31" s="3" t="s">
        <v>71</v>
      </c>
      <c r="B31" s="3" t="s">
        <v>72</v>
      </c>
      <c r="C31" s="4" t="s">
        <v>31</v>
      </c>
      <c r="D31" s="5"/>
      <c r="E31" s="6"/>
      <c r="F31" s="6"/>
      <c r="G31" s="6"/>
      <c r="H31" s="6">
        <f>D31*E31</f>
        <v>0</v>
      </c>
      <c r="I31" s="6">
        <f>D31*F31</f>
        <v>0</v>
      </c>
      <c r="J31" s="6">
        <f>H31+I31+(D31*G31)</f>
        <v>0</v>
      </c>
      <c r="K31" s="3"/>
    </row>
    <row r="32" spans="1:11" ht="15" customHeight="1">
      <c r="A32" s="3" t="s">
        <v>73</v>
      </c>
      <c r="B32" s="3" t="s">
        <v>74</v>
      </c>
      <c r="C32" s="4" t="s">
        <v>31</v>
      </c>
      <c r="D32" s="5"/>
      <c r="E32" s="6"/>
      <c r="F32" s="6"/>
      <c r="G32" s="6"/>
      <c r="H32" s="6">
        <f>D32*E32</f>
        <v>0</v>
      </c>
      <c r="I32" s="6">
        <f>D32*F32</f>
        <v>0</v>
      </c>
      <c r="J32" s="6">
        <f>H32+I32+(D32*G32)</f>
        <v>0</v>
      </c>
      <c r="K32" s="3"/>
    </row>
    <row r="33" spans="1:11" ht="15" customHeight="1">
      <c r="A33" s="3" t="s">
        <v>75</v>
      </c>
      <c r="B33" s="3" t="s">
        <v>76</v>
      </c>
      <c r="C33" s="4" t="s">
        <v>31</v>
      </c>
      <c r="D33" s="5">
        <v>3551</v>
      </c>
      <c r="E33" s="6"/>
      <c r="F33" s="6"/>
      <c r="G33" s="6"/>
      <c r="H33" s="6">
        <f>D33*E33</f>
        <v>0</v>
      </c>
      <c r="I33" s="6">
        <f>D33*F33</f>
        <v>0</v>
      </c>
      <c r="J33" s="6">
        <f>H33+I33+(D33*G33)</f>
        <v>0</v>
      </c>
      <c r="K33" s="3"/>
    </row>
    <row r="34" spans="1:11" ht="15" customHeight="1">
      <c r="A34" s="3" t="s">
        <v>77</v>
      </c>
      <c r="B34" s="3" t="s">
        <v>78</v>
      </c>
      <c r="C34" s="4" t="s">
        <v>31</v>
      </c>
      <c r="D34" s="5">
        <v>246</v>
      </c>
      <c r="E34" s="6"/>
      <c r="F34" s="6"/>
      <c r="G34" s="6"/>
      <c r="H34" s="6">
        <f>D34*E34</f>
        <v>0</v>
      </c>
      <c r="I34" s="6">
        <f>D34*F34</f>
        <v>0</v>
      </c>
      <c r="J34" s="6">
        <f>H34+I34+(D34*G34)</f>
        <v>0</v>
      </c>
      <c r="K34" s="3"/>
    </row>
    <row r="35" spans="1:11" ht="15" customHeight="1">
      <c r="A35" s="18" t="s">
        <v>79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 ht="15" customHeight="1">
      <c r="A36" s="3" t="s">
        <v>80</v>
      </c>
      <c r="B36" s="3" t="s">
        <v>81</v>
      </c>
      <c r="C36" s="4" t="s">
        <v>31</v>
      </c>
      <c r="D36" s="5">
        <v>3319</v>
      </c>
      <c r="E36" s="6"/>
      <c r="F36" s="6"/>
      <c r="G36" s="6"/>
      <c r="H36" s="6">
        <f>D36*E36</f>
        <v>0</v>
      </c>
      <c r="I36" s="6">
        <f>D36*F36</f>
        <v>0</v>
      </c>
      <c r="J36" s="6">
        <f>H36+I36+(D36*G36)</f>
        <v>0</v>
      </c>
      <c r="K36" s="3"/>
    </row>
    <row r="37" spans="1:11" ht="15" customHeight="1">
      <c r="A37" s="3" t="s">
        <v>82</v>
      </c>
      <c r="B37" s="3" t="s">
        <v>83</v>
      </c>
      <c r="C37" s="4" t="s">
        <v>31</v>
      </c>
      <c r="D37" s="5">
        <v>0</v>
      </c>
      <c r="E37" s="6"/>
      <c r="F37" s="6"/>
      <c r="G37" s="6"/>
      <c r="H37" s="6">
        <f>D37*E37</f>
        <v>0</v>
      </c>
      <c r="I37" s="6">
        <f>D37*F37</f>
        <v>0</v>
      </c>
      <c r="J37" s="6">
        <f>H37+I37+(D37*G37)</f>
        <v>0</v>
      </c>
      <c r="K37" s="3"/>
    </row>
    <row r="38" spans="1:11" ht="15" customHeight="1">
      <c r="A38" s="3" t="s">
        <v>84</v>
      </c>
      <c r="B38" s="3" t="s">
        <v>85</v>
      </c>
      <c r="C38" s="4" t="s">
        <v>31</v>
      </c>
      <c r="D38" s="5">
        <v>0</v>
      </c>
      <c r="E38" s="6"/>
      <c r="F38" s="6"/>
      <c r="G38" s="6"/>
      <c r="H38" s="6">
        <f>D38*E38</f>
        <v>0</v>
      </c>
      <c r="I38" s="6">
        <f>D38*F38</f>
        <v>0</v>
      </c>
      <c r="J38" s="6">
        <f>H38+I38+(D38*G38)</f>
        <v>0</v>
      </c>
      <c r="K38" s="3"/>
    </row>
    <row r="39" spans="1:11" ht="15" customHeight="1">
      <c r="A39" s="3" t="s">
        <v>86</v>
      </c>
      <c r="B39" s="3" t="s">
        <v>87</v>
      </c>
      <c r="C39" s="4" t="s">
        <v>31</v>
      </c>
      <c r="D39" s="5">
        <v>0</v>
      </c>
      <c r="E39" s="6"/>
      <c r="F39" s="6"/>
      <c r="G39" s="6"/>
      <c r="H39" s="6">
        <f>D39*E39</f>
        <v>0</v>
      </c>
      <c r="I39" s="6">
        <f>D39*F39</f>
        <v>0</v>
      </c>
      <c r="J39" s="6">
        <f>H39+I39+(D39*G39)</f>
        <v>0</v>
      </c>
      <c r="K39" s="3"/>
    </row>
    <row r="40" spans="1:11" ht="15" customHeight="1">
      <c r="A40" s="3" t="s">
        <v>88</v>
      </c>
      <c r="B40" s="3" t="s">
        <v>89</v>
      </c>
      <c r="C40" s="4" t="s">
        <v>31</v>
      </c>
      <c r="D40" s="5">
        <v>0</v>
      </c>
      <c r="E40" s="6"/>
      <c r="F40" s="6"/>
      <c r="G40" s="6"/>
      <c r="H40" s="6">
        <f>D40*E40</f>
        <v>0</v>
      </c>
      <c r="I40" s="6">
        <f>D40*F40</f>
        <v>0</v>
      </c>
      <c r="J40" s="6">
        <f>H40+I40+(D40*G40)</f>
        <v>0</v>
      </c>
      <c r="K40" s="3"/>
    </row>
    <row r="41" spans="1:11" ht="15" customHeight="1">
      <c r="A41" s="3" t="s">
        <v>90</v>
      </c>
      <c r="B41" s="3" t="s">
        <v>91</v>
      </c>
      <c r="C41" s="4" t="s">
        <v>31</v>
      </c>
      <c r="D41" s="5">
        <v>5419</v>
      </c>
      <c r="E41" s="6"/>
      <c r="F41" s="6"/>
      <c r="G41" s="6"/>
      <c r="H41" s="6">
        <f>D41*E41</f>
        <v>0</v>
      </c>
      <c r="I41" s="6">
        <f>D41*F41</f>
        <v>0</v>
      </c>
      <c r="J41" s="6">
        <f>H41+I41+(D41*G41)</f>
        <v>0</v>
      </c>
      <c r="K41" s="3"/>
    </row>
    <row r="42" spans="1:11" ht="15" customHeight="1">
      <c r="A42" s="3" t="s">
        <v>92</v>
      </c>
      <c r="B42" s="3" t="s">
        <v>93</v>
      </c>
      <c r="C42" s="4" t="s">
        <v>31</v>
      </c>
      <c r="D42" s="5">
        <v>0</v>
      </c>
      <c r="E42" s="6"/>
      <c r="F42" s="6"/>
      <c r="G42" s="6"/>
      <c r="H42" s="6">
        <f>D42*E42</f>
        <v>0</v>
      </c>
      <c r="I42" s="6">
        <f>D42*F42</f>
        <v>0</v>
      </c>
      <c r="J42" s="6">
        <f>H42+I42+(D42*G42)</f>
        <v>0</v>
      </c>
      <c r="K42" s="3"/>
    </row>
    <row r="43" spans="1:11" ht="15" customHeight="1">
      <c r="A43" s="3" t="s">
        <v>94</v>
      </c>
      <c r="B43" s="3" t="s">
        <v>95</v>
      </c>
      <c r="C43" s="4" t="s">
        <v>31</v>
      </c>
      <c r="D43" s="5">
        <v>3551</v>
      </c>
      <c r="E43" s="6"/>
      <c r="F43" s="6"/>
      <c r="G43" s="6"/>
      <c r="H43" s="6">
        <f>D43*E43</f>
        <v>0</v>
      </c>
      <c r="I43" s="6">
        <f>D43*F43</f>
        <v>0</v>
      </c>
      <c r="J43" s="6">
        <f>H43+I43+(D43*G43)</f>
        <v>0</v>
      </c>
      <c r="K43" s="3"/>
    </row>
    <row r="44" spans="1:11" ht="15" customHeight="1">
      <c r="A44" s="3" t="s">
        <v>96</v>
      </c>
      <c r="B44" s="3" t="s">
        <v>97</v>
      </c>
      <c r="C44" s="4" t="s">
        <v>31</v>
      </c>
      <c r="D44" s="5">
        <v>246</v>
      </c>
      <c r="E44" s="6"/>
      <c r="F44" s="6"/>
      <c r="G44" s="6"/>
      <c r="H44" s="6">
        <f>D44*E44</f>
        <v>0</v>
      </c>
      <c r="I44" s="6">
        <f>D44*F44</f>
        <v>0</v>
      </c>
      <c r="J44" s="6">
        <f>H44+I44+(D44*G44)</f>
        <v>0</v>
      </c>
      <c r="K44" s="3"/>
    </row>
    <row r="45" spans="1:11" ht="15" customHeight="1">
      <c r="A45" s="18" t="s">
        <v>98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 ht="15" customHeight="1">
      <c r="A46" s="3" t="s">
        <v>99</v>
      </c>
      <c r="B46" s="3" t="s">
        <v>100</v>
      </c>
      <c r="C46" s="4" t="s">
        <v>101</v>
      </c>
      <c r="D46" s="5">
        <v>277</v>
      </c>
      <c r="E46" s="6"/>
      <c r="F46" s="6"/>
      <c r="G46" s="6"/>
      <c r="H46" s="6">
        <f>D46*E46</f>
        <v>0</v>
      </c>
      <c r="I46" s="6">
        <f>D46*F46</f>
        <v>0</v>
      </c>
      <c r="J46" s="6">
        <f>H46+I46+(D46*G46)</f>
        <v>0</v>
      </c>
      <c r="K46" s="3"/>
    </row>
    <row r="47" spans="1:11" ht="15" customHeight="1">
      <c r="A47" s="3" t="s">
        <v>102</v>
      </c>
      <c r="B47" s="3" t="s">
        <v>103</v>
      </c>
      <c r="C47" s="4" t="s">
        <v>101</v>
      </c>
      <c r="D47" s="5">
        <v>38</v>
      </c>
      <c r="E47" s="6"/>
      <c r="F47" s="6"/>
      <c r="G47" s="6"/>
      <c r="H47" s="6">
        <f>D47*E47</f>
        <v>0</v>
      </c>
      <c r="I47" s="6">
        <f>D47*F47</f>
        <v>0</v>
      </c>
      <c r="J47" s="6">
        <f>H47+I47+(D47*G47)</f>
        <v>0</v>
      </c>
      <c r="K47" s="3"/>
    </row>
    <row r="48" spans="1:11" ht="15" customHeight="1">
      <c r="A48" s="3" t="s">
        <v>104</v>
      </c>
      <c r="B48" s="3" t="s">
        <v>105</v>
      </c>
      <c r="C48" s="4" t="s">
        <v>101</v>
      </c>
      <c r="D48" s="5">
        <v>2</v>
      </c>
      <c r="E48" s="6"/>
      <c r="F48" s="6"/>
      <c r="G48" s="6"/>
      <c r="H48" s="6">
        <f>D48*E48</f>
        <v>0</v>
      </c>
      <c r="I48" s="6">
        <f>D48*F48</f>
        <v>0</v>
      </c>
      <c r="J48" s="6">
        <f>H48+I48+(D48*G48)</f>
        <v>0</v>
      </c>
      <c r="K48" s="3"/>
    </row>
    <row r="49" spans="1:11" ht="15" customHeight="1">
      <c r="A49" s="18" t="s">
        <v>106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 ht="15" customHeight="1">
      <c r="A50" s="3" t="s">
        <v>107</v>
      </c>
      <c r="B50" s="3" t="s">
        <v>108</v>
      </c>
      <c r="C50" s="4" t="s">
        <v>109</v>
      </c>
      <c r="D50" s="5">
        <v>19</v>
      </c>
      <c r="E50" s="6"/>
      <c r="F50" s="6"/>
      <c r="G50" s="6"/>
      <c r="H50" s="6">
        <f>D50*E50</f>
        <v>0</v>
      </c>
      <c r="I50" s="6">
        <f>D50*F50</f>
        <v>0</v>
      </c>
      <c r="J50" s="6">
        <f>H50+I50+(D50*G50)</f>
        <v>0</v>
      </c>
      <c r="K50" s="3"/>
    </row>
    <row r="51" spans="1:11" ht="15" customHeight="1">
      <c r="A51" s="3" t="s">
        <v>110</v>
      </c>
      <c r="B51" s="3" t="s">
        <v>111</v>
      </c>
      <c r="C51" s="4" t="s">
        <v>109</v>
      </c>
      <c r="D51" s="5">
        <v>0</v>
      </c>
      <c r="E51" s="6"/>
      <c r="F51" s="6"/>
      <c r="G51" s="6"/>
      <c r="H51" s="6">
        <f>D51*E51</f>
        <v>0</v>
      </c>
      <c r="I51" s="6">
        <f>D51*F51</f>
        <v>0</v>
      </c>
      <c r="J51" s="6">
        <f>H51+I51+(D51*G51)</f>
        <v>0</v>
      </c>
      <c r="K51" s="3"/>
    </row>
    <row r="52" spans="1:11" ht="15" customHeight="1">
      <c r="A52" s="3" t="s">
        <v>112</v>
      </c>
      <c r="B52" s="3" t="s">
        <v>113</v>
      </c>
      <c r="C52" s="4" t="s">
        <v>109</v>
      </c>
      <c r="D52" s="5">
        <v>1</v>
      </c>
      <c r="E52" s="6"/>
      <c r="F52" s="6"/>
      <c r="G52" s="6"/>
      <c r="H52" s="6">
        <f>D52*E52</f>
        <v>0</v>
      </c>
      <c r="I52" s="6">
        <f>D52*F52</f>
        <v>0</v>
      </c>
      <c r="J52" s="6">
        <f>H52+I52+(D52*G52)</f>
        <v>0</v>
      </c>
      <c r="K52" s="3"/>
    </row>
    <row r="53" spans="1:11" ht="15" customHeight="1">
      <c r="A53" s="3" t="s">
        <v>114</v>
      </c>
      <c r="B53" s="3" t="s">
        <v>115</v>
      </c>
      <c r="C53" s="4" t="s">
        <v>109</v>
      </c>
      <c r="D53" s="5">
        <v>38</v>
      </c>
      <c r="E53" s="6"/>
      <c r="F53" s="6"/>
      <c r="G53" s="6"/>
      <c r="H53" s="6">
        <f>D53*E53</f>
        <v>0</v>
      </c>
      <c r="I53" s="6">
        <f>D53*F53</f>
        <v>0</v>
      </c>
      <c r="J53" s="6">
        <f>H53+I53+(D53*G53)</f>
        <v>0</v>
      </c>
      <c r="K53" s="3"/>
    </row>
    <row r="54" spans="1:11" ht="15" customHeight="1">
      <c r="A54" s="3" t="s">
        <v>116</v>
      </c>
      <c r="B54" s="3" t="s">
        <v>117</v>
      </c>
      <c r="C54" s="4" t="s">
        <v>109</v>
      </c>
      <c r="D54" s="5">
        <v>0</v>
      </c>
      <c r="E54" s="6"/>
      <c r="F54" s="6"/>
      <c r="G54" s="6"/>
      <c r="H54" s="6">
        <f>D54*E54</f>
        <v>0</v>
      </c>
      <c r="I54" s="6">
        <f>D54*F54</f>
        <v>0</v>
      </c>
      <c r="J54" s="6">
        <f>H54+I54+(D54*G54)</f>
        <v>0</v>
      </c>
      <c r="K54" s="3"/>
    </row>
    <row r="55" spans="1:11" ht="15" customHeight="1">
      <c r="A55" s="3" t="s">
        <v>118</v>
      </c>
      <c r="B55" s="3" t="s">
        <v>119</v>
      </c>
      <c r="C55" s="4" t="s">
        <v>109</v>
      </c>
      <c r="D55" s="5">
        <v>19</v>
      </c>
      <c r="E55" s="6"/>
      <c r="F55" s="6"/>
      <c r="G55" s="6"/>
      <c r="H55" s="6">
        <f>D55*E55</f>
        <v>0</v>
      </c>
      <c r="I55" s="6">
        <f>D55*F55</f>
        <v>0</v>
      </c>
      <c r="J55" s="6">
        <f>H55+I55+(D55*G55)</f>
        <v>0</v>
      </c>
      <c r="K55" s="3"/>
    </row>
    <row r="56" spans="1:11" ht="15" customHeight="1">
      <c r="A56" s="3" t="s">
        <v>120</v>
      </c>
      <c r="B56" s="3" t="s">
        <v>121</v>
      </c>
      <c r="C56" s="4" t="s">
        <v>109</v>
      </c>
      <c r="D56" s="5">
        <v>19</v>
      </c>
      <c r="E56" s="6"/>
      <c r="F56" s="6"/>
      <c r="G56" s="6"/>
      <c r="H56" s="6">
        <f>D56*E56</f>
        <v>0</v>
      </c>
      <c r="I56" s="6">
        <f>D56*F56</f>
        <v>0</v>
      </c>
      <c r="J56" s="6">
        <f>H56+I56+(D56*G56)</f>
        <v>0</v>
      </c>
      <c r="K56" s="3"/>
    </row>
    <row r="57" spans="1:11" ht="15" customHeight="1">
      <c r="A57" s="3" t="s">
        <v>122</v>
      </c>
      <c r="B57" s="3" t="s">
        <v>123</v>
      </c>
      <c r="C57" s="4" t="s">
        <v>109</v>
      </c>
      <c r="D57" s="5">
        <v>35</v>
      </c>
      <c r="E57" s="6"/>
      <c r="F57" s="6"/>
      <c r="G57" s="6"/>
      <c r="H57" s="6">
        <f>D57*E57</f>
        <v>0</v>
      </c>
      <c r="I57" s="6">
        <f>D57*F57</f>
        <v>0</v>
      </c>
      <c r="J57" s="6">
        <f>H57+I57+(D57*G57)</f>
        <v>0</v>
      </c>
      <c r="K57" s="3"/>
    </row>
    <row r="58" spans="1:11" ht="15" customHeight="1">
      <c r="A58" s="3" t="s">
        <v>124</v>
      </c>
      <c r="B58" s="3" t="s">
        <v>125</v>
      </c>
      <c r="C58" s="4" t="s">
        <v>109</v>
      </c>
      <c r="D58" s="5">
        <v>2</v>
      </c>
      <c r="E58" s="6"/>
      <c r="F58" s="6"/>
      <c r="G58" s="6"/>
      <c r="H58" s="6">
        <f>D58*E58</f>
        <v>0</v>
      </c>
      <c r="I58" s="6">
        <f>D58*F58</f>
        <v>0</v>
      </c>
      <c r="J58" s="6">
        <f>H58+I58+(D58*G58)</f>
        <v>0</v>
      </c>
      <c r="K58" s="3"/>
    </row>
    <row r="59" spans="1:11" ht="15" customHeight="1">
      <c r="A59" s="3" t="s">
        <v>126</v>
      </c>
      <c r="B59" s="3" t="s">
        <v>127</v>
      </c>
      <c r="C59" s="4" t="s">
        <v>128</v>
      </c>
      <c r="D59" s="5">
        <v>288</v>
      </c>
      <c r="E59" s="6"/>
      <c r="F59" s="6"/>
      <c r="G59" s="6"/>
      <c r="H59" s="6">
        <f>D59*E59</f>
        <v>0</v>
      </c>
      <c r="I59" s="6">
        <f>D59*F59</f>
        <v>0</v>
      </c>
      <c r="J59" s="6">
        <f>H59+I59+(D59*G59)</f>
        <v>0</v>
      </c>
      <c r="K59" s="3"/>
    </row>
    <row r="60" spans="1:11" ht="15" customHeight="1">
      <c r="A60" s="18" t="s">
        <v>129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 ht="15" customHeight="1">
      <c r="A61" s="3" t="s">
        <v>130</v>
      </c>
      <c r="B61" s="3" t="s">
        <v>131</v>
      </c>
      <c r="C61" s="4" t="s">
        <v>109</v>
      </c>
      <c r="D61" s="5">
        <v>40</v>
      </c>
      <c r="E61" s="6"/>
      <c r="F61" s="6"/>
      <c r="G61" s="6"/>
      <c r="H61" s="6">
        <f>D61*E61</f>
        <v>0</v>
      </c>
      <c r="I61" s="6">
        <f>D61*F61</f>
        <v>0</v>
      </c>
      <c r="J61" s="6">
        <f>H61+I61+(D61*G61)</f>
        <v>0</v>
      </c>
      <c r="K61" s="3"/>
    </row>
    <row r="62" spans="1:11" ht="15" customHeight="1">
      <c r="A62" s="3" t="s">
        <v>132</v>
      </c>
      <c r="B62" s="3" t="s">
        <v>133</v>
      </c>
      <c r="C62" s="4" t="s">
        <v>109</v>
      </c>
      <c r="D62" s="5">
        <v>15</v>
      </c>
      <c r="E62" s="6"/>
      <c r="F62" s="6"/>
      <c r="G62" s="6"/>
      <c r="H62" s="6">
        <f>D62*E62</f>
        <v>0</v>
      </c>
      <c r="I62" s="6">
        <f>D62*F62</f>
        <v>0</v>
      </c>
      <c r="J62" s="6">
        <f>H62+I62+(D62*G62)</f>
        <v>0</v>
      </c>
      <c r="K62" s="3"/>
    </row>
    <row r="63" spans="1:11" ht="15" customHeight="1">
      <c r="A63" s="3" t="s">
        <v>134</v>
      </c>
      <c r="B63" s="3" t="s">
        <v>135</v>
      </c>
      <c r="C63" s="4" t="s">
        <v>109</v>
      </c>
      <c r="D63" s="5">
        <v>5</v>
      </c>
      <c r="E63" s="6"/>
      <c r="F63" s="6"/>
      <c r="G63" s="6"/>
      <c r="H63" s="6">
        <f>D63*E63</f>
        <v>0</v>
      </c>
      <c r="I63" s="6">
        <f>D63*F63</f>
        <v>0</v>
      </c>
      <c r="J63" s="6">
        <f>H63+I63+(D63*G63)</f>
        <v>0</v>
      </c>
      <c r="K63" s="3"/>
    </row>
    <row r="64" spans="1:11" ht="15" customHeight="1">
      <c r="A64" s="3" t="s">
        <v>136</v>
      </c>
      <c r="B64" s="3" t="s">
        <v>137</v>
      </c>
      <c r="C64" s="4" t="s">
        <v>109</v>
      </c>
      <c r="D64" s="5">
        <v>2</v>
      </c>
      <c r="E64" s="6"/>
      <c r="F64" s="6"/>
      <c r="G64" s="6"/>
      <c r="H64" s="6">
        <f>D64*E64</f>
        <v>0</v>
      </c>
      <c r="I64" s="6">
        <f>D64*F64</f>
        <v>0</v>
      </c>
      <c r="J64" s="6">
        <f>H64+I64+(D64*G64)</f>
        <v>0</v>
      </c>
      <c r="K64" s="3"/>
    </row>
    <row r="65" spans="1:11" ht="15" customHeight="1">
      <c r="A65" s="18" t="s">
        <v>138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 ht="15" customHeight="1">
      <c r="A66" s="3" t="s">
        <v>139</v>
      </c>
      <c r="B66" s="3" t="s">
        <v>140</v>
      </c>
      <c r="C66" s="4" t="s">
        <v>141</v>
      </c>
      <c r="D66" s="5">
        <v>277</v>
      </c>
      <c r="E66" s="6"/>
      <c r="F66" s="6"/>
      <c r="G66" s="6"/>
      <c r="H66" s="6">
        <f>D66*E66</f>
        <v>0</v>
      </c>
      <c r="I66" s="6">
        <f>D66*F66</f>
        <v>0</v>
      </c>
      <c r="J66" s="6">
        <f>H66+I66+(D66*G66)</f>
        <v>0</v>
      </c>
      <c r="K66" s="3"/>
    </row>
    <row r="67" spans="1:11" ht="15" customHeight="1">
      <c r="A67" s="3" t="s">
        <v>142</v>
      </c>
      <c r="B67" s="3" t="s">
        <v>143</v>
      </c>
      <c r="C67" s="4" t="s">
        <v>141</v>
      </c>
      <c r="D67" s="5">
        <v>0</v>
      </c>
      <c r="E67" s="6"/>
      <c r="F67" s="6"/>
      <c r="G67" s="6"/>
      <c r="H67" s="6">
        <f>D67*E67</f>
        <v>0</v>
      </c>
      <c r="I67" s="6">
        <f>D67*F67</f>
        <v>0</v>
      </c>
      <c r="J67" s="6">
        <f>H67+I67+(D67*G67)</f>
        <v>0</v>
      </c>
      <c r="K67" s="3"/>
    </row>
    <row r="68" spans="1:11" ht="15" customHeight="1">
      <c r="A68" s="3" t="s">
        <v>144</v>
      </c>
      <c r="B68" s="3" t="s">
        <v>145</v>
      </c>
      <c r="C68" s="4" t="s">
        <v>141</v>
      </c>
      <c r="D68" s="5">
        <v>0</v>
      </c>
      <c r="E68" s="6"/>
      <c r="F68" s="6"/>
      <c r="G68" s="6"/>
      <c r="H68" s="6">
        <f>D68*E68</f>
        <v>0</v>
      </c>
      <c r="I68" s="6">
        <f>D68*F68</f>
        <v>0</v>
      </c>
      <c r="J68" s="6">
        <f>H68+I68+(D68*G68)</f>
        <v>0</v>
      </c>
      <c r="K68" s="3"/>
    </row>
    <row r="69" spans="1:11" ht="15" customHeight="1">
      <c r="A69" s="18" t="s">
        <v>146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 ht="15" customHeight="1">
      <c r="A70" s="3" t="s">
        <v>147</v>
      </c>
      <c r="B70" s="3" t="s">
        <v>148</v>
      </c>
      <c r="C70" s="4" t="s">
        <v>109</v>
      </c>
      <c r="D70" s="5">
        <v>277</v>
      </c>
      <c r="E70" s="6"/>
      <c r="F70" s="6"/>
      <c r="G70" s="6"/>
      <c r="H70" s="6">
        <f>D70*E70</f>
        <v>0</v>
      </c>
      <c r="I70" s="6">
        <f>D70*F70</f>
        <v>0</v>
      </c>
      <c r="J70" s="6">
        <f>H70+I70+(D70*G70)</f>
        <v>0</v>
      </c>
      <c r="K70" s="3"/>
    </row>
    <row r="71" spans="1:11" ht="15" customHeight="1">
      <c r="A71" s="3" t="s">
        <v>149</v>
      </c>
      <c r="B71" s="3" t="s">
        <v>150</v>
      </c>
      <c r="C71" s="4" t="s">
        <v>31</v>
      </c>
      <c r="D71" s="5">
        <v>3551</v>
      </c>
      <c r="E71" s="6"/>
      <c r="F71" s="6"/>
      <c r="G71" s="6"/>
      <c r="H71" s="6">
        <f>D71*E71</f>
        <v>0</v>
      </c>
      <c r="I71" s="6">
        <f>D71*F71</f>
        <v>0</v>
      </c>
      <c r="J71" s="6">
        <f>H71+I71+(D71*G71)</f>
        <v>0</v>
      </c>
      <c r="K71" s="3"/>
    </row>
    <row r="72" spans="1:11" ht="15" customHeight="1">
      <c r="A72" s="3" t="s">
        <v>151</v>
      </c>
      <c r="B72" s="3" t="s">
        <v>152</v>
      </c>
      <c r="C72" s="4" t="s">
        <v>31</v>
      </c>
      <c r="D72" s="5">
        <v>3551</v>
      </c>
      <c r="E72" s="6"/>
      <c r="F72" s="6"/>
      <c r="G72" s="6"/>
      <c r="H72" s="6">
        <f>D72*E72</f>
        <v>0</v>
      </c>
      <c r="I72" s="6">
        <f>D72*F72</f>
        <v>0</v>
      </c>
      <c r="J72" s="6">
        <f>H72+I72+(D72*G72)</f>
        <v>0</v>
      </c>
      <c r="K72" s="3"/>
    </row>
    <row r="74" spans="1:11" ht="15" customHeight="1">
      <c r="A74" s="19" t="s">
        <v>153</v>
      </c>
      <c r="B74" s="16"/>
      <c r="C74" s="17"/>
      <c r="D74" s="7"/>
      <c r="E74" s="7"/>
      <c r="F74" s="7"/>
      <c r="G74" s="7"/>
      <c r="H74" s="8">
        <f>SUM(H7:H8)</f>
        <v>0</v>
      </c>
      <c r="I74" s="8">
        <f>SUM(I7:I8)</f>
        <v>0</v>
      </c>
      <c r="J74" s="8">
        <f>SUM(J7:J8)</f>
        <v>0</v>
      </c>
      <c r="K74" s="7"/>
    </row>
    <row r="75" spans="1:11" ht="15" customHeight="1">
      <c r="A75" s="19" t="s">
        <v>154</v>
      </c>
      <c r="B75" s="16"/>
      <c r="C75" s="17"/>
      <c r="D75" s="7"/>
      <c r="E75" s="7"/>
      <c r="F75" s="7"/>
      <c r="G75" s="7"/>
      <c r="H75" s="8">
        <f>SUM(H10:H21)</f>
        <v>0</v>
      </c>
      <c r="I75" s="8">
        <f>SUM(I10:I21)</f>
        <v>0</v>
      </c>
      <c r="J75" s="8">
        <f>SUM(J10:J21)</f>
        <v>0</v>
      </c>
      <c r="K75" s="7"/>
    </row>
    <row r="76" spans="1:11" ht="15" customHeight="1">
      <c r="A76" s="19" t="s">
        <v>155</v>
      </c>
      <c r="B76" s="16"/>
      <c r="C76" s="17"/>
      <c r="D76" s="7"/>
      <c r="E76" s="7"/>
      <c r="F76" s="7"/>
      <c r="G76" s="7"/>
      <c r="H76" s="8">
        <f>SUM(H23:H34)</f>
        <v>0</v>
      </c>
      <c r="I76" s="8">
        <f>SUM(I23:I34)</f>
        <v>0</v>
      </c>
      <c r="J76" s="8">
        <f>SUM(J23:J34)</f>
        <v>0</v>
      </c>
      <c r="K76" s="7"/>
    </row>
    <row r="77" spans="1:11" ht="15" customHeight="1">
      <c r="A77" s="19" t="s">
        <v>156</v>
      </c>
      <c r="B77" s="16"/>
      <c r="C77" s="17"/>
      <c r="D77" s="7"/>
      <c r="E77" s="7"/>
      <c r="F77" s="7"/>
      <c r="G77" s="7"/>
      <c r="H77" s="8">
        <f>SUM(H36:H44)</f>
        <v>0</v>
      </c>
      <c r="I77" s="8">
        <f>SUM(I36:I44)</f>
        <v>0</v>
      </c>
      <c r="J77" s="8">
        <f>SUM(J36:J44)</f>
        <v>0</v>
      </c>
      <c r="K77" s="7"/>
    </row>
    <row r="78" spans="1:11" ht="15" customHeight="1">
      <c r="A78" s="19" t="s">
        <v>157</v>
      </c>
      <c r="B78" s="16"/>
      <c r="C78" s="17"/>
      <c r="D78" s="7"/>
      <c r="E78" s="7"/>
      <c r="F78" s="7"/>
      <c r="G78" s="7"/>
      <c r="H78" s="8">
        <f>SUM(H46:H48)</f>
        <v>0</v>
      </c>
      <c r="I78" s="8">
        <f>SUM(I46:I48)</f>
        <v>0</v>
      </c>
      <c r="J78" s="8">
        <f>SUM(J46:J48)</f>
        <v>0</v>
      </c>
      <c r="K78" s="7"/>
    </row>
    <row r="79" spans="1:11" ht="15" customHeight="1">
      <c r="A79" s="19" t="s">
        <v>158</v>
      </c>
      <c r="B79" s="16"/>
      <c r="C79" s="17"/>
      <c r="D79" s="7"/>
      <c r="E79" s="7"/>
      <c r="F79" s="7"/>
      <c r="G79" s="7"/>
      <c r="H79" s="8">
        <f>SUM(H50:H59)</f>
        <v>0</v>
      </c>
      <c r="I79" s="8">
        <f>SUM(I50:I59)</f>
        <v>0</v>
      </c>
      <c r="J79" s="8">
        <f>SUM(J50:J59)</f>
        <v>0</v>
      </c>
      <c r="K79" s="7"/>
    </row>
    <row r="80" spans="1:11" ht="15" customHeight="1">
      <c r="A80" s="19" t="s">
        <v>159</v>
      </c>
      <c r="B80" s="16"/>
      <c r="C80" s="17"/>
      <c r="D80" s="7"/>
      <c r="E80" s="7"/>
      <c r="F80" s="7"/>
      <c r="G80" s="7"/>
      <c r="H80" s="8">
        <f>SUM(H61:H64)</f>
        <v>0</v>
      </c>
      <c r="I80" s="8">
        <f>SUM(I61:I64)</f>
        <v>0</v>
      </c>
      <c r="J80" s="8">
        <f>SUM(J61:J64)</f>
        <v>0</v>
      </c>
      <c r="K80" s="7"/>
    </row>
    <row r="81" spans="1:11" ht="15" customHeight="1">
      <c r="A81" s="19" t="s">
        <v>160</v>
      </c>
      <c r="B81" s="16"/>
      <c r="C81" s="17"/>
      <c r="D81" s="7"/>
      <c r="E81" s="7"/>
      <c r="F81" s="7"/>
      <c r="G81" s="7"/>
      <c r="H81" s="8">
        <f>SUM(H66:H68)</f>
        <v>0</v>
      </c>
      <c r="I81" s="8">
        <f>SUM(I66:I68)</f>
        <v>0</v>
      </c>
      <c r="J81" s="8">
        <f>SUM(J66:J68)</f>
        <v>0</v>
      </c>
      <c r="K81" s="7"/>
    </row>
    <row r="82" spans="1:11" ht="15" customHeight="1">
      <c r="A82" s="19" t="s">
        <v>161</v>
      </c>
      <c r="B82" s="16"/>
      <c r="C82" s="17"/>
      <c r="D82" s="7"/>
      <c r="E82" s="7"/>
      <c r="F82" s="7"/>
      <c r="G82" s="7"/>
      <c r="H82" s="8">
        <f>SUM(H70:H72)</f>
        <v>0</v>
      </c>
      <c r="I82" s="8">
        <f>SUM(I70:I72)</f>
        <v>0</v>
      </c>
      <c r="J82" s="8">
        <f>SUM(J70:J72)</f>
        <v>0</v>
      </c>
      <c r="K82" s="7"/>
    </row>
    <row r="84" spans="1:11" ht="15" customHeight="1">
      <c r="A84" s="20" t="s">
        <v>162</v>
      </c>
      <c r="B84" s="16"/>
      <c r="C84" s="17"/>
      <c r="D84" s="7"/>
      <c r="E84" s="7"/>
      <c r="F84" s="7"/>
      <c r="G84" s="7"/>
      <c r="H84" s="9">
        <f>SUM(H74:H82)</f>
        <v>0</v>
      </c>
      <c r="I84" s="9">
        <f>SUM(I74:I82)</f>
        <v>0</v>
      </c>
      <c r="J84" s="9">
        <f>SUM(J74:J82)</f>
        <v>0</v>
      </c>
      <c r="K84" s="7"/>
    </row>
  </sheetData>
  <mergeCells count="20">
    <mergeCell ref="A1:K1"/>
    <mergeCell ref="A45:K45"/>
    <mergeCell ref="A6:K6"/>
    <mergeCell ref="A69:K69"/>
    <mergeCell ref="A76:C76"/>
    <mergeCell ref="A65:K65"/>
    <mergeCell ref="A22:K22"/>
    <mergeCell ref="A35:K35"/>
    <mergeCell ref="A9:K9"/>
    <mergeCell ref="A80:C80"/>
    <mergeCell ref="A75:C75"/>
    <mergeCell ref="A84:C84"/>
    <mergeCell ref="A74:C74"/>
    <mergeCell ref="A49:K49"/>
    <mergeCell ref="A60:K60"/>
    <mergeCell ref="A81:C81"/>
    <mergeCell ref="A77:C77"/>
    <mergeCell ref="A82:C82"/>
    <mergeCell ref="A79:C79"/>
    <mergeCell ref="A78:C78"/>
  </mergeCells>
  <pageMargins left="0.75" right="0.75" top="1" bottom="1" header="0.511811023622047" footer="0.511811023622047"/>
  <pageSetup paperSize="9" orientation="portrait" horizontalDpi="300" verticalDpi="300"/>
  <headerFooter>
    <oddHeader>&amp;R&amp;"Century Gothic"&amp;9&amp;K5514B4 General&amp;1#_x000D_</oddHeader>
    <oddFooter>&amp;R_x000D_&amp;1#&amp;"Century Gothic"&amp;9&amp;K5514B4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/>
  </sheetViews>
  <sheetFormatPr defaultColWidth="8.7109375" defaultRowHeight="15"/>
  <cols>
    <col min="1" max="1" width="6" customWidth="1"/>
    <col min="2" max="2" width="42" customWidth="1"/>
    <col min="3" max="3" width="8" customWidth="1"/>
    <col min="4" max="4" width="12" customWidth="1"/>
    <col min="5" max="5" width="14" customWidth="1"/>
    <col min="6" max="6" width="16" customWidth="1"/>
    <col min="7" max="7" width="18" customWidth="1"/>
  </cols>
  <sheetData>
    <row r="1" spans="1:7" ht="19.7" customHeight="1">
      <c r="A1" s="13" t="s">
        <v>163</v>
      </c>
      <c r="B1" s="14"/>
      <c r="C1" s="14"/>
      <c r="D1" s="14"/>
      <c r="E1" s="14"/>
      <c r="F1" s="14"/>
      <c r="G1" s="14"/>
    </row>
    <row r="2" spans="1:7" ht="15" customHeight="1">
      <c r="A2" s="1" t="s">
        <v>1</v>
      </c>
      <c r="B2" t="s">
        <v>2</v>
      </c>
      <c r="D2" s="1" t="s">
        <v>3</v>
      </c>
      <c r="E2" t="s">
        <v>4</v>
      </c>
    </row>
    <row r="4" spans="1:7" ht="15" customHeight="1">
      <c r="A4" s="10" t="s">
        <v>10</v>
      </c>
      <c r="B4" s="10" t="s">
        <v>164</v>
      </c>
      <c r="C4" s="10" t="s">
        <v>12</v>
      </c>
      <c r="D4" s="10" t="s">
        <v>13</v>
      </c>
      <c r="E4" s="10" t="s">
        <v>165</v>
      </c>
      <c r="F4" s="10" t="s">
        <v>166</v>
      </c>
      <c r="G4" s="10" t="s">
        <v>167</v>
      </c>
    </row>
    <row r="5" spans="1:7" ht="15" customHeight="1">
      <c r="A5" s="18" t="s">
        <v>168</v>
      </c>
      <c r="B5" s="16"/>
      <c r="C5" s="16"/>
      <c r="D5" s="16"/>
      <c r="E5" s="16"/>
      <c r="F5" s="16"/>
      <c r="G5" s="16"/>
    </row>
    <row r="6" spans="1:7" ht="15" customHeight="1">
      <c r="A6" s="3" t="s">
        <v>169</v>
      </c>
      <c r="B6" s="3" t="s">
        <v>170</v>
      </c>
      <c r="C6" s="4" t="s">
        <v>31</v>
      </c>
      <c r="D6" s="11">
        <v>3319</v>
      </c>
      <c r="E6" s="12"/>
      <c r="F6" s="12">
        <f>D6*E6</f>
        <v>0</v>
      </c>
      <c r="G6" s="7"/>
    </row>
    <row r="7" spans="1:7" ht="15" customHeight="1">
      <c r="A7" s="3" t="s">
        <v>171</v>
      </c>
      <c r="B7" s="3" t="s">
        <v>172</v>
      </c>
      <c r="C7" s="4" t="s">
        <v>31</v>
      </c>
      <c r="D7" s="11">
        <v>0</v>
      </c>
      <c r="E7" s="12"/>
      <c r="F7" s="12">
        <f>D7*E7</f>
        <v>0</v>
      </c>
      <c r="G7" s="7"/>
    </row>
    <row r="8" spans="1:7" ht="15" customHeight="1">
      <c r="A8" s="3" t="s">
        <v>173</v>
      </c>
      <c r="B8" s="3" t="s">
        <v>174</v>
      </c>
      <c r="C8" s="4" t="s">
        <v>31</v>
      </c>
      <c r="D8" s="11">
        <v>5419</v>
      </c>
      <c r="E8" s="12"/>
      <c r="F8" s="12">
        <f>D8*E8</f>
        <v>0</v>
      </c>
      <c r="G8" s="7"/>
    </row>
    <row r="9" spans="1:7" ht="15" customHeight="1">
      <c r="A9" s="3" t="s">
        <v>175</v>
      </c>
      <c r="B9" s="3" t="s">
        <v>176</v>
      </c>
      <c r="C9" s="4" t="s">
        <v>31</v>
      </c>
      <c r="D9" s="11">
        <v>3319</v>
      </c>
      <c r="E9" s="12"/>
      <c r="F9" s="12">
        <f>D9*E9</f>
        <v>0</v>
      </c>
      <c r="G9" s="7"/>
    </row>
    <row r="10" spans="1:7" ht="15" customHeight="1">
      <c r="A10" s="3" t="s">
        <v>177</v>
      </c>
      <c r="B10" s="3" t="s">
        <v>178</v>
      </c>
      <c r="C10" s="4" t="s">
        <v>31</v>
      </c>
      <c r="D10" s="11">
        <v>3551</v>
      </c>
      <c r="E10" s="12"/>
      <c r="F10" s="12">
        <f>D10*E10</f>
        <v>0</v>
      </c>
      <c r="G10" s="7"/>
    </row>
    <row r="12" spans="1:7" ht="15" customHeight="1">
      <c r="A12" s="18" t="s">
        <v>179</v>
      </c>
      <c r="B12" s="16"/>
      <c r="C12" s="16"/>
      <c r="D12" s="16"/>
      <c r="E12" s="16"/>
      <c r="F12" s="16"/>
      <c r="G12" s="16"/>
    </row>
    <row r="13" spans="1:7" ht="15" customHeight="1">
      <c r="A13" s="3" t="s">
        <v>180</v>
      </c>
      <c r="B13" s="3" t="s">
        <v>181</v>
      </c>
      <c r="C13" s="4" t="s">
        <v>31</v>
      </c>
      <c r="D13" s="11">
        <v>3319</v>
      </c>
      <c r="E13" s="12"/>
      <c r="F13" s="12">
        <f>D13*E13</f>
        <v>0</v>
      </c>
      <c r="G13" s="7"/>
    </row>
    <row r="14" spans="1:7" ht="15" customHeight="1">
      <c r="A14" s="3" t="s">
        <v>182</v>
      </c>
      <c r="B14" s="3" t="s">
        <v>183</v>
      </c>
      <c r="C14" s="4" t="s">
        <v>31</v>
      </c>
      <c r="D14" s="11">
        <v>0</v>
      </c>
      <c r="E14" s="12"/>
      <c r="F14" s="12">
        <f>D14*E14</f>
        <v>0</v>
      </c>
      <c r="G14" s="7"/>
    </row>
    <row r="15" spans="1:7" ht="15" customHeight="1">
      <c r="A15" s="3" t="s">
        <v>184</v>
      </c>
      <c r="B15" s="3" t="s">
        <v>185</v>
      </c>
      <c r="C15" s="4" t="s">
        <v>31</v>
      </c>
      <c r="D15" s="11">
        <v>0</v>
      </c>
      <c r="E15" s="12"/>
      <c r="F15" s="12">
        <f>D15*E15</f>
        <v>0</v>
      </c>
      <c r="G15" s="7"/>
    </row>
    <row r="16" spans="1:7" ht="15" customHeight="1">
      <c r="A16" s="3" t="s">
        <v>186</v>
      </c>
      <c r="B16" s="3" t="s">
        <v>187</v>
      </c>
      <c r="C16" s="4" t="s">
        <v>31</v>
      </c>
      <c r="D16" s="11">
        <v>0</v>
      </c>
      <c r="E16" s="12"/>
      <c r="F16" s="12">
        <f>D16*E16</f>
        <v>0</v>
      </c>
      <c r="G16" s="7"/>
    </row>
    <row r="17" spans="1:7" ht="15" customHeight="1">
      <c r="A17" s="3" t="s">
        <v>188</v>
      </c>
      <c r="B17" s="3" t="s">
        <v>189</v>
      </c>
      <c r="C17" s="4" t="s">
        <v>31</v>
      </c>
      <c r="D17" s="11">
        <v>5419</v>
      </c>
      <c r="E17" s="12"/>
      <c r="F17" s="12">
        <f>D17*E17</f>
        <v>0</v>
      </c>
      <c r="G17" s="7"/>
    </row>
    <row r="18" spans="1:7" ht="15" customHeight="1">
      <c r="A18" s="3" t="s">
        <v>190</v>
      </c>
      <c r="B18" s="3" t="s">
        <v>191</v>
      </c>
      <c r="C18" s="4" t="s">
        <v>31</v>
      </c>
      <c r="D18" s="11">
        <v>0</v>
      </c>
      <c r="E18" s="12"/>
      <c r="F18" s="12">
        <f>D18*E18</f>
        <v>0</v>
      </c>
      <c r="G18" s="7"/>
    </row>
    <row r="19" spans="1:7" ht="15" customHeight="1">
      <c r="A19" s="3" t="s">
        <v>192</v>
      </c>
      <c r="B19" s="3" t="s">
        <v>193</v>
      </c>
      <c r="C19" s="4" t="s">
        <v>31</v>
      </c>
      <c r="D19" s="11">
        <v>3551</v>
      </c>
      <c r="E19" s="12"/>
      <c r="F19" s="12">
        <f>D19*E19</f>
        <v>0</v>
      </c>
      <c r="G19" s="7"/>
    </row>
    <row r="21" spans="1:7" ht="15" customHeight="1">
      <c r="A21" s="18" t="s">
        <v>194</v>
      </c>
      <c r="B21" s="16"/>
      <c r="C21" s="16"/>
      <c r="D21" s="16"/>
      <c r="E21" s="16"/>
      <c r="F21" s="16"/>
      <c r="G21" s="16"/>
    </row>
    <row r="22" spans="1:7" ht="15" customHeight="1">
      <c r="A22" s="3" t="s">
        <v>195</v>
      </c>
      <c r="B22" s="3" t="s">
        <v>196</v>
      </c>
      <c r="C22" s="4" t="s">
        <v>109</v>
      </c>
      <c r="D22" s="11">
        <v>19</v>
      </c>
      <c r="E22" s="12"/>
      <c r="F22" s="12">
        <f>D22*E22</f>
        <v>0</v>
      </c>
      <c r="G22" s="7"/>
    </row>
    <row r="23" spans="1:7" ht="15" customHeight="1">
      <c r="A23" s="3" t="s">
        <v>197</v>
      </c>
      <c r="B23" s="3" t="s">
        <v>198</v>
      </c>
      <c r="C23" s="4" t="s">
        <v>109</v>
      </c>
      <c r="D23" s="11">
        <v>1</v>
      </c>
      <c r="E23" s="12"/>
      <c r="F23" s="12">
        <f>D23*E23</f>
        <v>0</v>
      </c>
      <c r="G23" s="7"/>
    </row>
    <row r="24" spans="1:7" ht="15" customHeight="1">
      <c r="A24" s="3" t="s">
        <v>199</v>
      </c>
      <c r="B24" s="3" t="s">
        <v>200</v>
      </c>
      <c r="C24" s="4" t="s">
        <v>109</v>
      </c>
      <c r="D24" s="11">
        <v>38</v>
      </c>
      <c r="E24" s="12"/>
      <c r="F24" s="12">
        <f>D24*E24</f>
        <v>0</v>
      </c>
      <c r="G24" s="7"/>
    </row>
    <row r="25" spans="1:7" ht="15" customHeight="1">
      <c r="A25" s="3" t="s">
        <v>201</v>
      </c>
      <c r="B25" s="3" t="s">
        <v>202</v>
      </c>
      <c r="C25" s="4" t="s">
        <v>109</v>
      </c>
      <c r="D25" s="11">
        <v>19</v>
      </c>
      <c r="E25" s="12"/>
      <c r="F25" s="12">
        <f>D25*E25</f>
        <v>0</v>
      </c>
      <c r="G25" s="7"/>
    </row>
    <row r="26" spans="1:7" ht="15" customHeight="1">
      <c r="A26" s="3" t="s">
        <v>203</v>
      </c>
      <c r="B26" s="3" t="s">
        <v>204</v>
      </c>
      <c r="C26" s="4" t="s">
        <v>109</v>
      </c>
      <c r="D26" s="11">
        <v>19</v>
      </c>
      <c r="E26" s="12"/>
      <c r="F26" s="12">
        <f>D26*E26</f>
        <v>0</v>
      </c>
      <c r="G26" s="7"/>
    </row>
    <row r="27" spans="1:7" ht="15" customHeight="1">
      <c r="A27" s="3" t="s">
        <v>205</v>
      </c>
      <c r="B27" s="3" t="s">
        <v>206</v>
      </c>
      <c r="C27" s="4" t="s">
        <v>109</v>
      </c>
      <c r="D27" s="11">
        <v>35</v>
      </c>
      <c r="E27" s="12"/>
      <c r="F27" s="12">
        <f>D27*E27</f>
        <v>0</v>
      </c>
      <c r="G27" s="7"/>
    </row>
    <row r="28" spans="1:7" ht="15" customHeight="1">
      <c r="A28" s="3" t="s">
        <v>207</v>
      </c>
      <c r="B28" s="3" t="s">
        <v>125</v>
      </c>
      <c r="C28" s="4" t="s">
        <v>109</v>
      </c>
      <c r="D28" s="11">
        <v>2</v>
      </c>
      <c r="E28" s="12"/>
      <c r="F28" s="12">
        <f>D28*E28</f>
        <v>0</v>
      </c>
      <c r="G28" s="7"/>
    </row>
    <row r="30" spans="1:7" ht="15" customHeight="1">
      <c r="A30" s="18" t="s">
        <v>208</v>
      </c>
      <c r="B30" s="16"/>
      <c r="C30" s="16"/>
      <c r="D30" s="16"/>
      <c r="E30" s="16"/>
      <c r="F30" s="16"/>
      <c r="G30" s="16"/>
    </row>
    <row r="31" spans="1:7" ht="15" customHeight="1">
      <c r="A31" s="3" t="s">
        <v>209</v>
      </c>
      <c r="B31" s="3" t="s">
        <v>210</v>
      </c>
      <c r="C31" s="4" t="s">
        <v>109</v>
      </c>
      <c r="D31" s="11">
        <v>40</v>
      </c>
      <c r="E31" s="12"/>
      <c r="F31" s="12">
        <f>D31*E31</f>
        <v>0</v>
      </c>
      <c r="G31" s="7"/>
    </row>
    <row r="32" spans="1:7" ht="15" customHeight="1">
      <c r="A32" s="3" t="s">
        <v>211</v>
      </c>
      <c r="B32" s="3" t="s">
        <v>212</v>
      </c>
      <c r="C32" s="4" t="s">
        <v>109</v>
      </c>
      <c r="D32" s="11">
        <v>15</v>
      </c>
      <c r="E32" s="12"/>
      <c r="F32" s="12">
        <f>D32*E32</f>
        <v>0</v>
      </c>
      <c r="G32" s="7"/>
    </row>
    <row r="33" spans="1:7" ht="15" customHeight="1">
      <c r="A33" s="3" t="s">
        <v>213</v>
      </c>
      <c r="B33" s="3" t="s">
        <v>214</v>
      </c>
      <c r="C33" s="4" t="s">
        <v>109</v>
      </c>
      <c r="D33" s="11">
        <v>5</v>
      </c>
      <c r="E33" s="12"/>
      <c r="F33" s="12">
        <f>D33*E33</f>
        <v>0</v>
      </c>
      <c r="G33" s="7"/>
    </row>
    <row r="34" spans="1:7" ht="15" customHeight="1">
      <c r="A34" s="3" t="s">
        <v>215</v>
      </c>
      <c r="B34" s="3" t="s">
        <v>216</v>
      </c>
      <c r="C34" s="4" t="s">
        <v>109</v>
      </c>
      <c r="D34" s="11">
        <v>2</v>
      </c>
      <c r="E34" s="12"/>
      <c r="F34" s="12">
        <f>D34*E34</f>
        <v>0</v>
      </c>
      <c r="G34" s="7"/>
    </row>
    <row r="36" spans="1:7" ht="15" customHeight="1">
      <c r="A36" s="19" t="s">
        <v>217</v>
      </c>
      <c r="B36" s="16"/>
      <c r="C36" s="16"/>
      <c r="D36" s="16"/>
      <c r="E36" s="17"/>
      <c r="F36" s="8">
        <f>SUM(F6:F34)</f>
        <v>0</v>
      </c>
      <c r="G36" s="7"/>
    </row>
  </sheetData>
  <mergeCells count="6">
    <mergeCell ref="A1:G1"/>
    <mergeCell ref="A21:G21"/>
    <mergeCell ref="A12:G12"/>
    <mergeCell ref="A30:G30"/>
    <mergeCell ref="A36:E36"/>
    <mergeCell ref="A5:G5"/>
  </mergeCells>
  <pageMargins left="0.75" right="0.75" top="1" bottom="1" header="0.511811023622047" footer="0.511811023622047"/>
  <pageSetup paperSize="9" orientation="portrait" horizontalDpi="300" verticalDpi="300"/>
  <headerFooter>
    <oddHeader>&amp;R&amp;"Century Gothic"&amp;9&amp;K5514B4 General&amp;1#_x000D_</oddHeader>
    <oddFooter>&amp;R_x000D_&amp;1#&amp;"Century Gothic"&amp;9&amp;K5514B4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Muneeswaran Ramasamy (TCCDX C)</dc:creator>
  <cp:keywords/>
  <dc:description/>
  <cp:lastModifiedBy/>
  <cp:revision>0</cp:revision>
  <dcterms:created xsi:type="dcterms:W3CDTF">2026-07-08T11:32:34Z</dcterms:created>
  <dcterms:modified xsi:type="dcterms:W3CDTF">2026-07-08T11:34:06Z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2026-07-08T11:33:14Z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eb2e4a0e-29f0-4c2a-8e75-f38040f33145</vt:lpwstr>
  </property>
  <property fmtid="{D5CDD505-2E9C-101B-9397-08002B2CF9AE}" pid="8" name="MSIP_Label_55818d02-8d25-4bb9-b27c-e4db64670887_ContentBits">
    <vt:lpwstr>3</vt:lpwstr>
  </property>
  <property fmtid="{D5CDD505-2E9C-101B-9397-08002B2CF9AE}" pid="9" name="MSIP_Label_55818d02-8d25-4bb9-b27c-e4db64670887_Tag">
    <vt:lpwstr>10, 3, 0, 2</vt:lpwstr>
  </property>
</Properties>
</file>